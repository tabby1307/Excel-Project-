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 activeTab="2"/>
  </bookViews>
  <sheets>
    <sheet name="bike_buyers" sheetId="1" r:id="rId1"/>
    <sheet name="Work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Worksheet!$A$1:$N$1027</definedName>
    <definedName name="Slicer_Marital_Status">#N/A</definedName>
    <definedName name="Slicer_Education">#N/A</definedName>
    <definedName name="Slicer_Region">#N/A</definedName>
    <definedName name="Slicer_Cars">#N/A</definedName>
    <definedName name="Slicer_Purchased_Bike">#N/A</definedName>
  </definedNames>
  <calcPr calcId="144525"/>
  <pivotCaches>
    <pivotCache cacheId="0" r:id="rId5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  <x14:slicerCache r:id="rId6"/>
      </x14:slicerCaches>
    </ext>
  </extLst>
</workbook>
</file>

<file path=xl/sharedStrings.xml><?xml version="1.0" encoding="utf-8"?>
<sst xmlns="http://schemas.openxmlformats.org/spreadsheetml/2006/main" count="16486" uniqueCount="49">
  <si>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</si>
  <si>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</si>
  <si>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</si>
  <si>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</si>
  <si>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</si>
  <si>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</si>
  <si>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</si>
  <si>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</si>
  <si>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</si>
  <si>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</si>
  <si>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</si>
  <si>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</si>
  <si>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</si>
  <si>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</si>
  <si>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</si>
  <si>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</si>
  <si>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</si>
  <si>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</si>
  <si>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</si>
  <si>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</si>
  <si>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</si>
  <si>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</si>
  <si>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</si>
  <si>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</si>
  <si>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</si>
  <si>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</si>
  <si>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</si>
  <si>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</si>
  <si>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</si>
  <si>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</si>
  <si>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</si>
  <si>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</si>
  <si>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</si>
  <si>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</si>
  <si>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</si>
  <si>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</si>
  <si>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</si>
  <si>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</si>
  <si>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</si>
  <si>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</si>
  <si>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</si>
  <si>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Over 10 Miles</t>
  </si>
  <si>
    <t>Average of Income</t>
  </si>
  <si>
    <t>Grand Total</t>
  </si>
  <si>
    <t>Count of Purchased Bike</t>
  </si>
  <si>
    <t>Adolescent</t>
  </si>
  <si>
    <t>MiddleAge</t>
  </si>
  <si>
    <t>Old</t>
  </si>
  <si>
    <r>
      <t xml:space="preserve"> </t>
    </r>
    <r>
      <rPr>
        <sz val="36"/>
        <color theme="0"/>
        <rFont val="Calibri"/>
        <charset val="134"/>
        <scheme val="minor"/>
      </rPr>
      <t>BIKE_BUYERS DASHBOARD</t>
    </r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</si>
</sst>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&quot;$&quot;#,##0.00"/>
  </numFmts>
  <fonts count="23">
    <font>
      <sz val="11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36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5" applyNumberFormat="0" applyAlignment="0" applyProtection="0"/>
    <xf numFmtId="0" fontId="14" fillId="5" borderId="6" applyNumberFormat="0" applyAlignment="0" applyProtection="0"/>
    <xf numFmtId="0" fontId="15" fillId="5" borderId="5" applyNumberFormat="0" applyAlignment="0" applyProtection="0"/>
    <xf numFmtId="0" fontId="16" fillId="6" borderId="7" applyNumberFormat="0" applyAlignment="0" applyProtection="0"/>
    <xf numFmtId="0" fontId="17" fillId="0" borderId="8" applyNumberFormat="0" applyFill="0" applyAlignment="0" applyProtection="0"/>
    <xf numFmtId="0" fontId="2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2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distributed" indent="1"/>
    </xf>
    <xf numFmtId="178" fontId="0" fillId="0" borderId="0" xfId="0" applyNumberFormat="1"/>
    <xf numFmtId="6" fontId="0" fillId="0" borderId="0" xfId="0" applyNumberFormat="1"/>
    <xf numFmtId="0" fontId="2" fillId="0" borderId="0" xfId="0" applyFont="1"/>
    <xf numFmtId="6" fontId="2" fillId="0" borderId="0" xfId="0" applyNumberFormat="1" applyFont="1"/>
    <xf numFmtId="0" fontId="3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numFmt numFmtId="180" formatCode="0.0000_ "/>
    </dxf>
    <dxf>
      <numFmt numFmtId="181" formatCode="0.000_ "/>
    </dxf>
    <dxf>
      <numFmt numFmtId="182" formatCode="0.00_ "/>
    </dxf>
    <dxf>
      <numFmt numFmtId="183" formatCode="0.0_ "/>
    </dxf>
    <dxf>
      <numFmt numFmtId="178" formatCode="0_ "/>
    </dxf>
    <dxf>
      <numFmt numFmtId="184" formatCode="0.000_ "/>
    </dxf>
    <dxf>
      <numFmt numFmtId="185" formatCode="0.00_ "/>
    </dxf>
    <dxf>
      <numFmt numFmtId="186" formatCode="0.0_ "/>
    </dxf>
    <dxf>
      <numFmt numFmtId="178" formatCode="0_ "/>
    </dxf>
    <dxf>
      <numFmt numFmtId="187" formatCode="0.0000_ "/>
    </dxf>
    <dxf>
      <numFmt numFmtId="188" formatCode="0.000_ "/>
    </dxf>
    <dxf>
      <numFmt numFmtId="189" formatCode="0.00_ "/>
    </dxf>
    <dxf>
      <numFmt numFmtId="190" formatCode="0.0_ "/>
    </dxf>
    <dxf>
      <numFmt numFmtId="178" formatCode="0_ "/>
    </dxf>
    <dxf>
      <numFmt numFmtId="191" formatCode="0.0000_ "/>
    </dxf>
    <dxf>
      <numFmt numFmtId="192" formatCode="0.000_ "/>
    </dxf>
    <dxf>
      <numFmt numFmtId="193" formatCode="0.00_ "/>
    </dxf>
    <dxf>
      <numFmt numFmtId="194" formatCode="0.0_ "/>
    </dxf>
    <dxf>
      <numFmt numFmtId="178" formatCode="0_ "/>
    </dxf>
    <dxf>
      <numFmt numFmtId="195" formatCode="0.0000_ "/>
    </dxf>
    <dxf>
      <numFmt numFmtId="196" formatCode="0.000_ "/>
    </dxf>
    <dxf>
      <numFmt numFmtId="197" formatCode="0.00_ "/>
    </dxf>
    <dxf>
      <numFmt numFmtId="198" formatCode="0.0_ "/>
    </dxf>
    <dxf>
      <numFmt numFmtId="178" formatCode="0_ "/>
    </dxf>
    <dxf>
      <numFmt numFmtId="199" formatCode="0.000_ "/>
    </dxf>
    <dxf>
      <numFmt numFmtId="200" formatCode="0.00_ "/>
    </dxf>
    <dxf>
      <numFmt numFmtId="201" formatCode="0.0_ "/>
    </dxf>
    <dxf>
      <numFmt numFmtId="178" formatCode="0_ "/>
    </dxf>
    <dxf>
      <numFmt numFmtId="202" formatCode="0.0000_ "/>
    </dxf>
    <dxf>
      <numFmt numFmtId="203" formatCode="0.000_ "/>
    </dxf>
    <dxf>
      <numFmt numFmtId="204" formatCode="0.00_ "/>
    </dxf>
    <dxf>
      <numFmt numFmtId="205" formatCode="0.0_ "/>
    </dxf>
    <dxf>
      <numFmt numFmtId="178" formatCode="0_ "/>
    </dxf>
    <dxf>
      <numFmt numFmtId="206" formatCode="0.00_ "/>
    </dxf>
    <dxf>
      <numFmt numFmtId="207" formatCode="0.0_ "/>
    </dxf>
    <dxf>
      <numFmt numFmtId="178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Rate Compared to Income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0_ </c:formatCode>
                <c:ptCount val="2"/>
                <c:pt idx="0">
                  <c:v>53449.6124031008</c:v>
                </c:pt>
                <c:pt idx="1">
                  <c:v>56520.1465201465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0_ </c:formatCode>
                <c:ptCount val="2"/>
                <c:pt idx="0">
                  <c:v>55267.4897119342</c:v>
                </c:pt>
                <c:pt idx="1">
                  <c:v>59603.1746031746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773919"/>
        <c:axId val="498853723"/>
      </c:barChart>
      <c:catAx>
        <c:axId val="551773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853723"/>
        <c:crosses val="autoZero"/>
        <c:auto val="1"/>
        <c:lblAlgn val="ctr"/>
        <c:lblOffset val="100"/>
        <c:noMultiLvlLbl val="0"/>
      </c:catAx>
      <c:valAx>
        <c:axId val="498853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73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Compared to Occupation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</a:p>
        </c:rich>
      </c:tx>
      <c:layout>
        <c:manualLayout>
          <c:xMode val="edge"/>
          <c:yMode val="edge"/>
          <c:x val="0.166736111111111"/>
          <c:y val="0.1104166656732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82492"/>
        <c:axId val="236987147"/>
      </c:barChart>
      <c:catAx>
        <c:axId val="922824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87147"/>
        <c:crosses val="autoZero"/>
        <c:auto val="1"/>
        <c:lblAlgn val="ctr"/>
        <c:lblOffset val="100"/>
        <c:noMultiLvlLbl val="0"/>
      </c:catAx>
      <c:valAx>
        <c:axId val="236987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2824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Compared to Commute Distance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10555555555556"/>
          <c:y val="0.1451388878954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Table'!$A$34:$A$39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Table'!$B$34:$B$39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Table'!$A$34:$A$39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Table'!$C$34:$C$39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71565"/>
        <c:axId val="923831583"/>
      </c:lineChart>
      <c:catAx>
        <c:axId val="315715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831583"/>
        <c:crosses val="autoZero"/>
        <c:auto val="1"/>
        <c:lblAlgn val="ctr"/>
        <c:lblOffset val="100"/>
        <c:noMultiLvlLbl val="0"/>
      </c:catAx>
      <c:valAx>
        <c:axId val="9238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7156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Compared to Income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0_ </c:formatCode>
                <c:ptCount val="2"/>
                <c:pt idx="0">
                  <c:v>53449.6124031008</c:v>
                </c:pt>
                <c:pt idx="1">
                  <c:v>56520.1465201465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0_ </c:formatCode>
                <c:ptCount val="2"/>
                <c:pt idx="0">
                  <c:v>55267.4897119342</c:v>
                </c:pt>
                <c:pt idx="1">
                  <c:v>59603.1746031746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773919"/>
        <c:axId val="498853723"/>
      </c:barChart>
      <c:catAx>
        <c:axId val="551773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853723"/>
        <c:crosses val="autoZero"/>
        <c:auto val="1"/>
        <c:lblAlgn val="ctr"/>
        <c:lblOffset val="100"/>
        <c:noMultiLvlLbl val="0"/>
      </c:catAx>
      <c:valAx>
        <c:axId val="498853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773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Compared to Occupation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</c:numCache>
            </c:numRef>
          </c:val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82492"/>
        <c:axId val="236987147"/>
      </c:barChart>
      <c:catAx>
        <c:axId val="922824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87147"/>
        <c:crosses val="autoZero"/>
        <c:auto val="1"/>
        <c:lblAlgn val="ctr"/>
        <c:lblOffset val="100"/>
        <c:noMultiLvlLbl val="0"/>
      </c:catAx>
      <c:valAx>
        <c:axId val="236987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2824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Compared to Commute Distance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10555555555556"/>
          <c:y val="0.1451388878954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Table'!$A$34:$A$39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Table'!$B$34:$B$39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Table'!$A$34:$A$39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Table'!$C$34:$C$39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71565"/>
        <c:axId val="923831583"/>
      </c:lineChart>
      <c:catAx>
        <c:axId val="315715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831583"/>
        <c:crosses val="autoZero"/>
        <c:auto val="1"/>
        <c:lblAlgn val="ctr"/>
        <c:lblOffset val="100"/>
        <c:noMultiLvlLbl val="0"/>
      </c:catAx>
      <c:valAx>
        <c:axId val="9238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7156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Age Bracket</a:t>
            </a:r>
          </a:p>
        </c:rich>
      </c:tx>
      <c:layout>
        <c:manualLayout>
          <c:xMode val="edge"/>
          <c:yMode val="edge"/>
          <c:x val="0.391041666666667"/>
          <c:y val="0.1243055545621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6350</xdr:colOff>
      <xdr:row>0</xdr:row>
      <xdr:rowOff>22225</xdr:rowOff>
    </xdr:from>
    <xdr:to>
      <xdr:col>12</xdr:col>
      <xdr:colOff>311150</xdr:colOff>
      <xdr:row>14</xdr:row>
      <xdr:rowOff>98425</xdr:rowOff>
    </xdr:to>
    <xdr:graphicFrame>
      <xdr:nvGraphicFramePr>
        <xdr:cNvPr id="2" name="Chart 1"/>
        <xdr:cNvGraphicFramePr/>
      </xdr:nvGraphicFramePr>
      <xdr:xfrm>
        <a:off x="5006975" y="222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593725</xdr:colOff>
      <xdr:row>15</xdr:row>
      <xdr:rowOff>174625</xdr:rowOff>
    </xdr:from>
    <xdr:to>
      <xdr:col>12</xdr:col>
      <xdr:colOff>288925</xdr:colOff>
      <xdr:row>30</xdr:row>
      <xdr:rowOff>60325</xdr:rowOff>
    </xdr:to>
    <xdr:graphicFrame>
      <xdr:nvGraphicFramePr>
        <xdr:cNvPr id="4" name="Chart 3"/>
        <xdr:cNvGraphicFramePr/>
      </xdr:nvGraphicFramePr>
      <xdr:xfrm>
        <a:off x="4984750" y="30321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6350</xdr:colOff>
      <xdr:row>31</xdr:row>
      <xdr:rowOff>3175</xdr:rowOff>
    </xdr:from>
    <xdr:to>
      <xdr:col>12</xdr:col>
      <xdr:colOff>311150</xdr:colOff>
      <xdr:row>45</xdr:row>
      <xdr:rowOff>79375</xdr:rowOff>
    </xdr:to>
    <xdr:graphicFrame>
      <xdr:nvGraphicFramePr>
        <xdr:cNvPr id="5" name="Chart 4"/>
        <xdr:cNvGraphicFramePr/>
      </xdr:nvGraphicFramePr>
      <xdr:xfrm>
        <a:off x="5006975" y="59086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</xdr:colOff>
      <xdr:row>46</xdr:row>
      <xdr:rowOff>155575</xdr:rowOff>
    </xdr:from>
    <xdr:to>
      <xdr:col>12</xdr:col>
      <xdr:colOff>311150</xdr:colOff>
      <xdr:row>61</xdr:row>
      <xdr:rowOff>41275</xdr:rowOff>
    </xdr:to>
    <xdr:graphicFrame>
      <xdr:nvGraphicFramePr>
        <xdr:cNvPr id="6" name="Chart 5"/>
        <xdr:cNvGraphicFramePr/>
      </xdr:nvGraphicFramePr>
      <xdr:xfrm>
        <a:off x="5006975" y="89185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591185</xdr:colOff>
      <xdr:row>3</xdr:row>
      <xdr:rowOff>152400</xdr:rowOff>
    </xdr:from>
    <xdr:to>
      <xdr:col>15</xdr:col>
      <xdr:colOff>85725</xdr:colOff>
      <xdr:row>18</xdr:row>
      <xdr:rowOff>76200</xdr:rowOff>
    </xdr:to>
    <xdr:graphicFrame>
      <xdr:nvGraphicFramePr>
        <xdr:cNvPr id="2" name="Chart 1"/>
        <xdr:cNvGraphicFramePr/>
      </xdr:nvGraphicFramePr>
      <xdr:xfrm>
        <a:off x="3029585" y="723900"/>
        <a:ext cx="620014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8255</xdr:colOff>
      <xdr:row>21</xdr:row>
      <xdr:rowOff>109855</xdr:rowOff>
    </xdr:from>
    <xdr:to>
      <xdr:col>15</xdr:col>
      <xdr:colOff>104140</xdr:colOff>
      <xdr:row>34</xdr:row>
      <xdr:rowOff>0</xdr:rowOff>
    </xdr:to>
    <xdr:graphicFrame>
      <xdr:nvGraphicFramePr>
        <xdr:cNvPr id="3" name="Chart 2"/>
        <xdr:cNvGraphicFramePr/>
      </xdr:nvGraphicFramePr>
      <xdr:xfrm>
        <a:off x="3056255" y="4110355"/>
        <a:ext cx="6191885" cy="2366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57785</xdr:colOff>
      <xdr:row>38</xdr:row>
      <xdr:rowOff>38100</xdr:rowOff>
    </xdr:from>
    <xdr:to>
      <xdr:col>15</xdr:col>
      <xdr:colOff>132080</xdr:colOff>
      <xdr:row>51</xdr:row>
      <xdr:rowOff>161925</xdr:rowOff>
    </xdr:to>
    <xdr:graphicFrame>
      <xdr:nvGraphicFramePr>
        <xdr:cNvPr id="4" name="Chart 3"/>
        <xdr:cNvGraphicFramePr/>
      </xdr:nvGraphicFramePr>
      <xdr:xfrm>
        <a:off x="3105785" y="7277100"/>
        <a:ext cx="617029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8255</xdr:colOff>
      <xdr:row>55</xdr:row>
      <xdr:rowOff>6350</xdr:rowOff>
    </xdr:from>
    <xdr:to>
      <xdr:col>15</xdr:col>
      <xdr:colOff>132080</xdr:colOff>
      <xdr:row>68</xdr:row>
      <xdr:rowOff>101600</xdr:rowOff>
    </xdr:to>
    <xdr:graphicFrame>
      <xdr:nvGraphicFramePr>
        <xdr:cNvPr id="5" name="Chart 4"/>
        <xdr:cNvGraphicFramePr/>
      </xdr:nvGraphicFramePr>
      <xdr:xfrm>
        <a:off x="3056255" y="10483850"/>
        <a:ext cx="621982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1905</xdr:colOff>
      <xdr:row>3</xdr:row>
      <xdr:rowOff>152400</xdr:rowOff>
    </xdr:from>
    <xdr:to>
      <xdr:col>2</xdr:col>
      <xdr:colOff>602615</xdr:colOff>
      <xdr:row>9</xdr:row>
      <xdr:rowOff>13335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" y="723900"/>
              <a:ext cx="1819910" cy="1003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20955</xdr:colOff>
      <xdr:row>21</xdr:row>
      <xdr:rowOff>109855</xdr:rowOff>
    </xdr:from>
    <xdr:to>
      <xdr:col>3</xdr:col>
      <xdr:colOff>12065</xdr:colOff>
      <xdr:row>30</xdr:row>
      <xdr:rowOff>27305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" y="4110355"/>
              <a:ext cx="1819910" cy="163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</xdr:colOff>
      <xdr:row>38</xdr:row>
      <xdr:rowOff>38100</xdr:rowOff>
    </xdr:from>
    <xdr:to>
      <xdr:col>3</xdr:col>
      <xdr:colOff>1905</xdr:colOff>
      <xdr:row>45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" y="7277100"/>
              <a:ext cx="1828800" cy="1412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</xdr:colOff>
      <xdr:row>54</xdr:row>
      <xdr:rowOff>171450</xdr:rowOff>
    </xdr:from>
    <xdr:to>
      <xdr:col>2</xdr:col>
      <xdr:colOff>601980</xdr:colOff>
      <xdr:row>61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" y="10458450"/>
              <a:ext cx="1819910" cy="1213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61</xdr:row>
      <xdr:rowOff>155575</xdr:rowOff>
    </xdr:from>
    <xdr:to>
      <xdr:col>2</xdr:col>
      <xdr:colOff>610235</xdr:colOff>
      <xdr:row>68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Purchased Bik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d Bik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776075"/>
              <a:ext cx="1819910" cy="127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186.6501388889" refreshedBy="admin" recordCount="1026">
  <cacheSource type="worksheet">
    <worksheetSource ref="A1:N1027" sheet="Work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Over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h="1"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6">
    <format dxfId="0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1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3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4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5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6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7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8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9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0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1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2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3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4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15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16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17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18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19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20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21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22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23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24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25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26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27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28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29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0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1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2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3">
      <pivotArea grandRow="1" grandCol="1" collapsedLevelsAreSubtotals="1" fieldPosition="0"/>
    </format>
    <format dxfId="34">
      <pivotArea grandRow="1" grandCol="1" collapsedLevelsAreSubtotals="1" fieldPosition="0"/>
    </format>
    <format dxfId="35">
      <pivotArea grandRow="1" grandCol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D2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axis="axisRow"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2:D3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8:C5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h="1"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2">
    <i>
      <x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2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rs" sourceName="Cars">
  <pivotTables>
    <pivotTable tabId="3" name="PivotTable3"/>
  </pivotTables>
  <data>
    <tabular pivotCacheId="1">
      <items count="5">
        <i x="0" s="1"/>
        <i x="1" s="1"/>
        <i x="2" s="1"/>
        <i x="4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rchased_Bike" sourceName="Purchased Bike">
  <pivotTables>
    <pivotTable tabId="3" name="PivotTable4"/>
  </pivotTables>
  <data>
    <tabular pivotCacheId="1">
      <items count="2"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Cars" cache="Slicer_Cars" caption="Cars" rowHeight="225425"/>
  <slicer name="Region" cache="Slicer_Region" caption="Region" rowHeight="225425"/>
  <slicer name="Purchased Bike" cache="Slicer_Purchased_Bike" caption="Purchased Bike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$A1:$XFD1048576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8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8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8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8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8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8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8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8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8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8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8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8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8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8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8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8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8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8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8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8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8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8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8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8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8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workbookViewId="0">
      <selection activeCell="B2" sqref="B2"/>
    </sheetView>
  </sheetViews>
  <sheetFormatPr defaultColWidth="12.1428571428571" defaultRowHeight="15"/>
  <cols>
    <col min="1" max="1" width="12.1428571428571" customWidth="1"/>
    <col min="2" max="2" width="16.4285714285714" customWidth="1"/>
    <col min="3" max="3" width="12.1428571428571" customWidth="1"/>
    <col min="4" max="4" width="14.8571428571429" style="4" customWidth="1"/>
    <col min="5" max="5" width="12.1428571428571" customWidth="1"/>
    <col min="6" max="6" width="14.2857142857143" customWidth="1"/>
    <col min="7" max="7" width="16" customWidth="1"/>
    <col min="8" max="8" width="12.1428571428571" customWidth="1"/>
    <col min="9" max="9" width="15.1428571428571" customWidth="1"/>
    <col min="10" max="10" width="19" customWidth="1"/>
    <col min="11" max="16384" width="12.1428571428571" customWidth="1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36</v>
      </c>
      <c r="N1" s="5" t="s">
        <v>12</v>
      </c>
    </row>
    <row r="2" spans="1:14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IF(L2&lt;31,"Adolescent",IF(L2&gt;54,"Old",IF(L2&gt;=31,"MiddleAge")))</f>
        <v>MiddleAge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IF(L3&lt;31,"Adolescent",IF(L3&gt;54,"Old",IF(L3&gt;=31,"MiddleAge")))</f>
        <v>MiddleAge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IF(L67&lt;31,"Adolescent",IF(L67&gt;54,"Old",IF(L67&gt;=31,"MiddleAge")))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IF(L131&lt;31,"Adolescent",IF(L131&gt;54,"Old",IF(L131&gt;=31,"MiddleAge")))</f>
        <v>MiddleAge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IF(L195&lt;31,"Adolescent",IF(L195&gt;54,"Old",IF(L195&gt;=31,"MiddleAge")))</f>
        <v>MiddleAge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IF(L259&lt;31,"Adolescent",IF(L259&gt;54,"Old",IF(L259&gt;=31,"MiddleAge")))</f>
        <v>MiddleAge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IF(L323&lt;31,"Adolescent",IF(L323&gt;54,"Old",IF(L323&gt;=31,"MiddleAge")))</f>
        <v>MiddleAge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IF(L387&lt;31,"Adolescent",IF(L387&gt;54,"Old",IF(L387&gt;=31,"MiddleAge")))</f>
        <v>MiddleAge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IF(L451&lt;31,"Adolescent",IF(L451&gt;54,"Old",IF(L451&gt;=31,"MiddleAge")))</f>
        <v>MiddleAge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IF(L515&lt;31,"Adolescent",IF(L515&gt;54,"Old",IF(L515&gt;=31,"MiddleAge")))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IF(L579&lt;31,"Adolescent",IF(L579&gt;54,"Old",IF(L579&gt;=31,"MiddleAge")))</f>
        <v>MiddleAge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IF(L643&lt;31,"Adolescent",IF(L643&gt;54,"Old",IF(L643&gt;=31,"MiddleAge")))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IF(L707&lt;31,"Adolescent",IF(L707&gt;54,"Old",IF(L707&gt;=31,"MiddleAge")))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IF(L771&lt;31,"Adolescent",IF(L771&gt;54,"Old",IF(L771&gt;=31,"MiddleAge")))</f>
        <v>MiddleAge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IF(L835&lt;31,"Adolescent",IF(L835&gt;54,"Old",IF(L835&gt;=31,"MiddleAge")))</f>
        <v>MiddleAge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IF(L899&lt;31,"Adolescent",IF(L899&gt;54,"Old",IF(L899&gt;=31,"MiddleAge")))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26" si="15">IF(L963&lt;31,"Adolescent",IF(L963&gt;54,"Old",IF(L963&gt;=31,"MiddleAge")))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4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MiddleAge</v>
      </c>
      <c r="N1001" t="s">
        <v>17</v>
      </c>
    </row>
    <row r="1002" spans="1:14">
      <c r="A1002">
        <v>13507</v>
      </c>
      <c r="B1002" t="s">
        <v>37</v>
      </c>
      <c r="C1002" t="s">
        <v>38</v>
      </c>
      <c r="D1002" s="4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tr">
        <f t="shared" si="15"/>
        <v>MiddleAge</v>
      </c>
      <c r="N1002" t="s">
        <v>20</v>
      </c>
    </row>
    <row r="1003" spans="1:14">
      <c r="A1003">
        <v>19280</v>
      </c>
      <c r="B1003" t="s">
        <v>37</v>
      </c>
      <c r="C1003" t="s">
        <v>39</v>
      </c>
      <c r="D1003" s="4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tr">
        <f t="shared" si="15"/>
        <v>MiddleAge</v>
      </c>
      <c r="N1003" t="s">
        <v>17</v>
      </c>
    </row>
    <row r="1004" spans="1:14">
      <c r="A1004">
        <v>22173</v>
      </c>
      <c r="B1004" t="s">
        <v>37</v>
      </c>
      <c r="C1004" t="s">
        <v>38</v>
      </c>
      <c r="D1004" s="4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tr">
        <f t="shared" si="15"/>
        <v>MiddleAge</v>
      </c>
      <c r="N1004" t="s">
        <v>17</v>
      </c>
    </row>
    <row r="1005" spans="1:14">
      <c r="A1005">
        <v>12697</v>
      </c>
      <c r="B1005" t="s">
        <v>40</v>
      </c>
      <c r="C1005" t="s">
        <v>38</v>
      </c>
      <c r="D1005" s="4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41</v>
      </c>
      <c r="K1005" t="s">
        <v>27</v>
      </c>
      <c r="L1005">
        <v>36</v>
      </c>
      <c r="M1005" t="str">
        <f t="shared" si="15"/>
        <v>MiddleAge</v>
      </c>
      <c r="N1005" t="s">
        <v>20</v>
      </c>
    </row>
    <row r="1006" spans="1:14">
      <c r="A1006">
        <v>11434</v>
      </c>
      <c r="B1006" t="s">
        <v>37</v>
      </c>
      <c r="C1006" t="s">
        <v>39</v>
      </c>
      <c r="D1006" s="4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tr">
        <f t="shared" si="15"/>
        <v>Old</v>
      </c>
      <c r="N1006" t="s">
        <v>20</v>
      </c>
    </row>
    <row r="1007" spans="1:14">
      <c r="A1007">
        <v>25323</v>
      </c>
      <c r="B1007" t="s">
        <v>37</v>
      </c>
      <c r="C1007" t="s">
        <v>39</v>
      </c>
      <c r="D1007" s="4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tr">
        <f t="shared" si="15"/>
        <v>MiddleAge</v>
      </c>
      <c r="N1007" t="s">
        <v>17</v>
      </c>
    </row>
    <row r="1008" spans="1:14">
      <c r="A1008">
        <v>23542</v>
      </c>
      <c r="B1008" t="s">
        <v>40</v>
      </c>
      <c r="C1008" t="s">
        <v>39</v>
      </c>
      <c r="D1008" s="4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tr">
        <f t="shared" si="15"/>
        <v>MiddleAge</v>
      </c>
      <c r="N1008" t="s">
        <v>17</v>
      </c>
    </row>
    <row r="1009" spans="1:14">
      <c r="A1009">
        <v>20870</v>
      </c>
      <c r="B1009" t="s">
        <v>40</v>
      </c>
      <c r="C1009" t="s">
        <v>38</v>
      </c>
      <c r="D1009" s="4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tr">
        <f t="shared" si="15"/>
        <v>MiddleAge</v>
      </c>
      <c r="N1009" t="s">
        <v>17</v>
      </c>
    </row>
    <row r="1010" spans="1:14">
      <c r="A1010">
        <v>23316</v>
      </c>
      <c r="B1010" t="s">
        <v>40</v>
      </c>
      <c r="C1010" t="s">
        <v>39</v>
      </c>
      <c r="D1010" s="4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tr">
        <f t="shared" si="15"/>
        <v>Old</v>
      </c>
      <c r="N1010" t="s">
        <v>17</v>
      </c>
    </row>
    <row r="1011" spans="1:14">
      <c r="A1011">
        <v>12610</v>
      </c>
      <c r="B1011" t="s">
        <v>37</v>
      </c>
      <c r="C1011" t="s">
        <v>38</v>
      </c>
      <c r="D1011" s="4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tr">
        <f t="shared" si="15"/>
        <v>MiddleAge</v>
      </c>
      <c r="N1011" t="s">
        <v>20</v>
      </c>
    </row>
    <row r="1012" spans="1:14">
      <c r="A1012">
        <v>27183</v>
      </c>
      <c r="B1012" t="s">
        <v>40</v>
      </c>
      <c r="C1012" t="s">
        <v>39</v>
      </c>
      <c r="D1012" s="4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tr">
        <f t="shared" si="15"/>
        <v>MiddleAge</v>
      </c>
      <c r="N1012" t="s">
        <v>17</v>
      </c>
    </row>
    <row r="1013" spans="1:14">
      <c r="A1013">
        <v>25940</v>
      </c>
      <c r="B1013" t="s">
        <v>40</v>
      </c>
      <c r="C1013" t="s">
        <v>39</v>
      </c>
      <c r="D1013" s="4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tr">
        <f t="shared" si="15"/>
        <v>Old</v>
      </c>
      <c r="N1013" t="s">
        <v>17</v>
      </c>
    </row>
    <row r="1014" spans="1:14">
      <c r="A1014">
        <v>25598</v>
      </c>
      <c r="B1014" t="s">
        <v>37</v>
      </c>
      <c r="C1014" t="s">
        <v>38</v>
      </c>
      <c r="D1014" s="4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tr">
        <f t="shared" si="15"/>
        <v>MiddleAge</v>
      </c>
      <c r="N1014" t="s">
        <v>17</v>
      </c>
    </row>
    <row r="1015" spans="1:14">
      <c r="A1015">
        <v>21564</v>
      </c>
      <c r="B1015" t="s">
        <v>40</v>
      </c>
      <c r="C1015" t="s">
        <v>38</v>
      </c>
      <c r="D1015" s="4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41</v>
      </c>
      <c r="K1015" t="s">
        <v>27</v>
      </c>
      <c r="L1015">
        <v>35</v>
      </c>
      <c r="M1015" t="str">
        <f t="shared" si="15"/>
        <v>MiddleAge</v>
      </c>
      <c r="N1015" t="s">
        <v>20</v>
      </c>
    </row>
    <row r="1016" spans="1:14">
      <c r="A1016">
        <v>19193</v>
      </c>
      <c r="B1016" t="s">
        <v>40</v>
      </c>
      <c r="C1016" t="s">
        <v>39</v>
      </c>
      <c r="D1016" s="4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tr">
        <f t="shared" si="15"/>
        <v>MiddleAge</v>
      </c>
      <c r="N1016" t="s">
        <v>17</v>
      </c>
    </row>
    <row r="1017" spans="1:14">
      <c r="A1017">
        <v>26412</v>
      </c>
      <c r="B1017" t="s">
        <v>37</v>
      </c>
      <c r="C1017" t="s">
        <v>38</v>
      </c>
      <c r="D1017" s="4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tr">
        <f t="shared" si="15"/>
        <v>Old</v>
      </c>
      <c r="N1017" t="s">
        <v>20</v>
      </c>
    </row>
    <row r="1018" spans="1:14">
      <c r="A1018">
        <v>27184</v>
      </c>
      <c r="B1018" t="s">
        <v>40</v>
      </c>
      <c r="C1018" t="s">
        <v>39</v>
      </c>
      <c r="D1018" s="4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tr">
        <f t="shared" si="15"/>
        <v>MiddleAge</v>
      </c>
      <c r="N1018" t="s">
        <v>20</v>
      </c>
    </row>
    <row r="1019" spans="1:14">
      <c r="A1019">
        <v>12590</v>
      </c>
      <c r="B1019" t="s">
        <v>40</v>
      </c>
      <c r="C1019" t="s">
        <v>39</v>
      </c>
      <c r="D1019" s="4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tr">
        <f t="shared" si="15"/>
        <v>Old</v>
      </c>
      <c r="N1019" t="s">
        <v>20</v>
      </c>
    </row>
    <row r="1020" spans="1:14">
      <c r="A1020">
        <v>17841</v>
      </c>
      <c r="B1020" t="s">
        <v>40</v>
      </c>
      <c r="C1020" t="s">
        <v>39</v>
      </c>
      <c r="D1020" s="4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tr">
        <f t="shared" si="15"/>
        <v>Adolescent</v>
      </c>
      <c r="N1020" t="s">
        <v>17</v>
      </c>
    </row>
    <row r="1021" spans="1:14">
      <c r="A1021">
        <v>18283</v>
      </c>
      <c r="B1021" t="s">
        <v>40</v>
      </c>
      <c r="C1021" t="s">
        <v>38</v>
      </c>
      <c r="D1021" s="4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tr">
        <f t="shared" si="15"/>
        <v>MiddleAge</v>
      </c>
      <c r="N1021" t="s">
        <v>20</v>
      </c>
    </row>
    <row r="1022" spans="1:14">
      <c r="A1022">
        <v>18299</v>
      </c>
      <c r="B1022" t="s">
        <v>37</v>
      </c>
      <c r="C1022" t="s">
        <v>39</v>
      </c>
      <c r="D1022" s="4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tr">
        <f t="shared" si="15"/>
        <v>MiddleAge</v>
      </c>
      <c r="N1022" t="s">
        <v>20</v>
      </c>
    </row>
    <row r="1023" spans="1:14">
      <c r="A1023">
        <v>16466</v>
      </c>
      <c r="B1023" t="s">
        <v>40</v>
      </c>
      <c r="C1023" t="s">
        <v>38</v>
      </c>
      <c r="D1023" s="4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tr">
        <f t="shared" si="15"/>
        <v>MiddleAge</v>
      </c>
      <c r="N1023" t="s">
        <v>17</v>
      </c>
    </row>
    <row r="1024" spans="1:14">
      <c r="A1024">
        <v>19273</v>
      </c>
      <c r="B1024" t="s">
        <v>37</v>
      </c>
      <c r="C1024" t="s">
        <v>38</v>
      </c>
      <c r="D1024" s="4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tr">
        <f t="shared" si="15"/>
        <v>Old</v>
      </c>
      <c r="N1024" t="s">
        <v>20</v>
      </c>
    </row>
    <row r="1025" spans="1:14">
      <c r="A1025">
        <v>22400</v>
      </c>
      <c r="B1025" t="s">
        <v>37</v>
      </c>
      <c r="C1025" t="s">
        <v>39</v>
      </c>
      <c r="D1025" s="4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tr">
        <f t="shared" si="15"/>
        <v>Adolescent</v>
      </c>
      <c r="N1025" t="s">
        <v>17</v>
      </c>
    </row>
    <row r="1026" spans="1:14">
      <c r="A1026">
        <v>20942</v>
      </c>
      <c r="B1026" t="s">
        <v>40</v>
      </c>
      <c r="C1026" t="s">
        <v>38</v>
      </c>
      <c r="D1026" s="4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tr">
        <f t="shared" si="15"/>
        <v>MiddleAge</v>
      </c>
      <c r="N1026" t="s">
        <v>20</v>
      </c>
    </row>
    <row r="1027" spans="1:14">
      <c r="A1027">
        <v>18484</v>
      </c>
      <c r="B1027" t="s">
        <v>40</v>
      </c>
      <c r="C1027" t="s">
        <v>39</v>
      </c>
      <c r="D1027" s="4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tr">
        <f>IF(L1027&lt;31,"Adolescent",IF(L1027&gt;54,"Old",IF(L1027&gt;=31,"MiddleAge")))</f>
        <v>MiddleAge</v>
      </c>
      <c r="N1027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D52" sqref="D52"/>
    </sheetView>
  </sheetViews>
  <sheetFormatPr defaultColWidth="9.14285714285714" defaultRowHeight="15" outlineLevelCol="3"/>
  <cols>
    <col min="1" max="1" width="24.5714285714286"/>
    <col min="2" max="2" width="17.5714285714286"/>
    <col min="3" max="4" width="11.8571428571429"/>
  </cols>
  <sheetData>
    <row r="1" spans="1:2">
      <c r="A1" t="s">
        <v>42</v>
      </c>
      <c r="B1" t="s">
        <v>12</v>
      </c>
    </row>
    <row r="2" spans="1:4">
      <c r="A2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3">
        <v>53449.6124031008</v>
      </c>
      <c r="C3" s="3">
        <v>55267.4897119342</v>
      </c>
      <c r="D3" s="3">
        <v>54331.3373253493</v>
      </c>
    </row>
    <row r="4" spans="1:4">
      <c r="A4" t="s">
        <v>39</v>
      </c>
      <c r="B4" s="3">
        <v>56520.1465201465</v>
      </c>
      <c r="C4" s="3">
        <v>59603.1746031746</v>
      </c>
      <c r="D4" s="3">
        <v>58000</v>
      </c>
    </row>
    <row r="5" spans="1:4">
      <c r="A5" t="s">
        <v>43</v>
      </c>
      <c r="B5" s="3">
        <v>55028.2485875706</v>
      </c>
      <c r="C5" s="3">
        <v>57474.7474747475</v>
      </c>
      <c r="D5" s="3">
        <v>56208.5769980507</v>
      </c>
    </row>
    <row r="17" spans="1:2">
      <c r="A17" t="s">
        <v>44</v>
      </c>
      <c r="B17" t="s">
        <v>12</v>
      </c>
    </row>
    <row r="18" spans="1:4">
      <c r="A18" t="s">
        <v>6</v>
      </c>
      <c r="B18" t="s">
        <v>20</v>
      </c>
      <c r="C18" t="s">
        <v>17</v>
      </c>
      <c r="D18" t="s">
        <v>43</v>
      </c>
    </row>
    <row r="19" spans="1:4">
      <c r="A19" t="s">
        <v>22</v>
      </c>
      <c r="B19">
        <v>92</v>
      </c>
      <c r="C19">
        <v>95</v>
      </c>
      <c r="D19">
        <v>187</v>
      </c>
    </row>
    <row r="20" spans="1:4">
      <c r="A20" t="s">
        <v>31</v>
      </c>
      <c r="B20">
        <v>101</v>
      </c>
      <c r="C20">
        <v>73</v>
      </c>
      <c r="D20">
        <v>174</v>
      </c>
    </row>
    <row r="21" spans="1:4">
      <c r="A21" t="s">
        <v>28</v>
      </c>
      <c r="B21">
        <v>67</v>
      </c>
      <c r="C21">
        <v>59</v>
      </c>
      <c r="D21">
        <v>126</v>
      </c>
    </row>
    <row r="22" spans="1:4">
      <c r="A22" t="s">
        <v>23</v>
      </c>
      <c r="B22">
        <v>130</v>
      </c>
      <c r="C22">
        <v>150</v>
      </c>
      <c r="D22">
        <v>280</v>
      </c>
    </row>
    <row r="23" spans="1:4">
      <c r="A23" t="s">
        <v>16</v>
      </c>
      <c r="B23">
        <v>141</v>
      </c>
      <c r="C23">
        <v>118</v>
      </c>
      <c r="D23">
        <v>259</v>
      </c>
    </row>
    <row r="24" spans="1:4">
      <c r="A24" t="s">
        <v>43</v>
      </c>
      <c r="B24">
        <v>531</v>
      </c>
      <c r="C24">
        <v>495</v>
      </c>
      <c r="D24">
        <v>1026</v>
      </c>
    </row>
    <row r="32" spans="1:2">
      <c r="A32" t="s">
        <v>44</v>
      </c>
      <c r="B32" t="s">
        <v>12</v>
      </c>
    </row>
    <row r="33" spans="1:4">
      <c r="A33" t="s">
        <v>9</v>
      </c>
      <c r="B33" t="s">
        <v>20</v>
      </c>
      <c r="C33" t="s">
        <v>17</v>
      </c>
      <c r="D33" t="s">
        <v>43</v>
      </c>
    </row>
    <row r="34" spans="1:4">
      <c r="A34" t="s">
        <v>18</v>
      </c>
      <c r="B34">
        <v>171</v>
      </c>
      <c r="C34">
        <v>207</v>
      </c>
      <c r="D34">
        <v>378</v>
      </c>
    </row>
    <row r="35" spans="1:4">
      <c r="A35" t="s">
        <v>29</v>
      </c>
      <c r="B35">
        <v>93</v>
      </c>
      <c r="C35">
        <v>83</v>
      </c>
      <c r="D35">
        <v>176</v>
      </c>
    </row>
    <row r="36" spans="1:4">
      <c r="A36" t="s">
        <v>24</v>
      </c>
      <c r="B36">
        <v>67</v>
      </c>
      <c r="C36">
        <v>95</v>
      </c>
      <c r="D36">
        <v>162</v>
      </c>
    </row>
    <row r="37" spans="1:4">
      <c r="A37" t="s">
        <v>26</v>
      </c>
      <c r="B37">
        <v>120</v>
      </c>
      <c r="C37">
        <v>77</v>
      </c>
      <c r="D37">
        <v>197</v>
      </c>
    </row>
    <row r="38" spans="1:4">
      <c r="A38" t="s">
        <v>41</v>
      </c>
      <c r="B38">
        <v>80</v>
      </c>
      <c r="C38">
        <v>33</v>
      </c>
      <c r="D38">
        <v>113</v>
      </c>
    </row>
    <row r="39" spans="1:4">
      <c r="A39" t="s">
        <v>43</v>
      </c>
      <c r="B39">
        <v>531</v>
      </c>
      <c r="C39">
        <v>495</v>
      </c>
      <c r="D39">
        <v>1026</v>
      </c>
    </row>
    <row r="48" spans="1:2">
      <c r="A48" t="s">
        <v>44</v>
      </c>
      <c r="B48" t="s">
        <v>12</v>
      </c>
    </row>
    <row r="49" spans="1:3">
      <c r="A49" t="s">
        <v>36</v>
      </c>
      <c r="B49" t="s">
        <v>20</v>
      </c>
      <c r="C49" t="s">
        <v>43</v>
      </c>
    </row>
    <row r="50" spans="1:3">
      <c r="A50" t="s">
        <v>45</v>
      </c>
      <c r="B50">
        <v>71</v>
      </c>
      <c r="C50">
        <v>71</v>
      </c>
    </row>
    <row r="51" spans="1:3">
      <c r="A51" t="s">
        <v>46</v>
      </c>
      <c r="B51">
        <v>326</v>
      </c>
      <c r="C51">
        <v>326</v>
      </c>
    </row>
    <row r="52" spans="1:3">
      <c r="A52" t="s">
        <v>47</v>
      </c>
      <c r="B52">
        <v>134</v>
      </c>
      <c r="C52">
        <v>134</v>
      </c>
    </row>
    <row r="53" spans="1:3">
      <c r="A53" t="s">
        <v>43</v>
      </c>
      <c r="B53">
        <v>531</v>
      </c>
      <c r="C53">
        <v>531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showGridLines="0" topLeftCell="A34" workbookViewId="0">
      <selection activeCell="R60" sqref="R60"/>
    </sheetView>
  </sheetViews>
  <sheetFormatPr defaultColWidth="9.14285714285714" defaultRowHeight="15"/>
  <sheetData>
    <row r="1" spans="1:18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12" spans="3:3">
      <c r="C12" s="2"/>
    </row>
  </sheetData>
  <mergeCells count="1">
    <mergeCell ref="A1:R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Tabitha Chelagat</cp:lastModifiedBy>
  <dcterms:created xsi:type="dcterms:W3CDTF">2022-03-18T02:50:00Z</dcterms:created>
  <dcterms:modified xsi:type="dcterms:W3CDTF">2023-09-17T15:27:52Z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7A847D12ACF345D382D2F51DED56111A_13</vt:lpwstr>
  </property>
  <property fmtid="{D5CDD505-2E9C-101B-9397-08002B2CF9AE}" pid="3" name="KSOProductBuildVer">
    <vt:lpwstr>1033-12.2.0.13201</vt:lpwstr>
  </property>
</Properties>
</file>